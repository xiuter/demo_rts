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d307fca18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4301b87807d492b"/>
    <x:sheet xmlns:r="http://schemas.openxmlformats.org/officeDocument/2006/relationships" name="01_Race_Identity" sheetId="2" r:id="R18652301ad3c40dd"/>
    <x:sheet xmlns:r="http://schemas.openxmlformats.org/officeDocument/2006/relationships" name="02_SC2_Raw_Stats" sheetId="3" r:id="R31dfdb2581314b16"/>
    <x:sheet xmlns:r="http://schemas.openxmlformats.org/officeDocument/2006/relationships" name="03_Normalized_Metrics" sheetId="4" r:id="R84c7aea1cd6f46f4"/>
    <x:sheet xmlns:r="http://schemas.openxmlformats.org/officeDocument/2006/relationships" name="04_Simplified_Races" sheetId="5" r:id="Rde72f59815554150"/>
    <x:sheet xmlns:r="http://schemas.openxmlformats.org/officeDocument/2006/relationships" name="05_Current_Game_Map" sheetId="6" r:id="R74616b336de74621"/>
    <x:sheet xmlns:r="http://schemas.openxmlformats.org/officeDocument/2006/relationships" name="06_Tuning_Log" sheetId="7" r:id="R24a57536c076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4D"/>
      </x:patternFill>
    </x:fill>
    <x:fill>
      <x:patternFill patternType="solid">
        <x:fgColor rgb="FFE0F2FE"/>
      </x:patternFill>
    </x:fill>
    <x:fill>
      <x:patternFill patternType="solid">
        <x:fgColor rgb="FF315C75"/>
      </x:patternFill>
    </x:fill>
    <x:fill>
      <x:patternFill patternType="solid">
        <x:fgColor rgb="FF2F5D7C"/>
      </x:patternFill>
    </x:fill>
    <x:fill>
      <x:patternFill patternType="solid">
        <x:fgColor rgb="FF365C83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14">
    <x:border/>
    <x:border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bottom style="thin">
        <x:color rgb="FFD9E2EF"/>
      </x:bottom>
    </x:border>
    <x:border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top style="thin">
        <x:color rgb="FFD9E2EF"/>
      </x:top>
      <x:bottom style="thin">
        <x:color rgb="FFD9E2EF"/>
      </x:bottom>
    </x:border>
    <x:border>
      <x:right style="thin">
        <x:color rgb="FFD9E2EF"/>
      </x:right>
      <x:top style="thin">
        <x:color rgb="FFD9E2EF"/>
      </x:top>
    </x:border>
    <x:border>
      <x:left style="thin">
        <x:color rgb="FFD9E2EF"/>
      </x:left>
      <x:right style="thin">
        <x:color rgb="FFD9E2EF"/>
      </x:right>
      <x:top style="thin">
        <x:color rgb="FFD9E2EF"/>
      </x:top>
    </x:border>
    <x:border>
      <x:left style="thin">
        <x:color rgb="FFD9E2EF"/>
      </x:left>
      <x:top style="thin">
        <x:color rgb="FFD9E2EF"/>
      </x:top>
    </x:border>
    <x:border>
      <x:top style="thin">
        <x:color rgb="FFD9E2EF"/>
      </x:top>
      <x:bottom style="thin">
        <x:color rgb="FFD9E2EF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10" xfId="0" applyNumberFormat="1" applyFont="1" applyFill="1" applyBorder="1"/>
    <x:xf numFmtId="0" fontId="3" fillId="5" borderId="4" xfId="0" applyNumberFormat="1" applyFont="1" applyFill="1" applyBorder="1"/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6" xfId="0" applyNumberFormat="1" applyFont="1" applyFill="1" applyBorder="1"/>
    <x:xf numFmtId="0" fontId="3" fillId="6" borderId="10" xfId="0" applyNumberFormat="1" applyFont="1" applyFill="1" applyBorder="1"/>
    <x:xf numFmtId="0" fontId="3" fillId="6" borderId="4" xfId="0" applyNumberFormat="1" applyFont="1" applyFill="1" applyBorder="1"/>
    <x:xf numFmtId="201" fontId="0" fillId="0" borderId="11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10" xfId="0" applyNumberFormat="1" applyFont="1" applyFill="1" applyBorder="1"/>
    <x:xf numFmtId="0" fontId="3" fillId="7" borderId="4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6" xfId="0" applyNumberFormat="1" applyFont="1" applyFill="1" applyBorder="1"/>
    <x:xf numFmtId="0" fontId="3" fillId="8" borderId="10" xfId="0" applyNumberFormat="1" applyFont="1" applyFill="1" applyBorder="1"/>
    <x:xf numFmtId="0" fontId="3" fillId="8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14a44ac8f49a2" /><Relationship Type="http://schemas.openxmlformats.org/officeDocument/2006/relationships/theme" Target="/xl/theme/theme1.xml" Id="Rb2a26e0679a84139" /><Relationship Type="http://schemas.openxmlformats.org/officeDocument/2006/relationships/sharedStrings" Target="/xl/sharedStrings.xml" Id="R51e8c2805c1c4ad5" /><Relationship Type="http://schemas.openxmlformats.org/officeDocument/2006/relationships/worksheet" Target="/xl/worksheets/sheet1.xml" Id="Ra4301b87807d492b" /><Relationship Type="http://schemas.openxmlformats.org/officeDocument/2006/relationships/worksheet" Target="/xl/worksheets/sheet2.xml" Id="R18652301ad3c40dd" /><Relationship Type="http://schemas.openxmlformats.org/officeDocument/2006/relationships/worksheet" Target="/xl/worksheets/sheet3.xml" Id="R31dfdb2581314b16" /><Relationship Type="http://schemas.openxmlformats.org/officeDocument/2006/relationships/worksheet" Target="/xl/worksheets/sheet4.xml" Id="R84c7aea1cd6f46f4" /><Relationship Type="http://schemas.openxmlformats.org/officeDocument/2006/relationships/worksheet" Target="/xl/worksheets/sheet5.xml" Id="Rde72f59815554150" /><Relationship Type="http://schemas.openxmlformats.org/officeDocument/2006/relationships/worksheet" Target="/xl/worksheets/sheet6.xml" Id="R74616b336de74621" /><Relationship Type="http://schemas.openxmlformats.org/officeDocument/2006/relationships/worksheet" Target="/xl/worksheets/sheet7.xml" Id="R24a57536c0764c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c3f33a317d41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三族代表单位平均数值对比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Cost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'03_Normalized_Metrics'!$L$2:$L$4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Effective HP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'03_Normalized_Metrics'!$M$2:$M$4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DPS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'03_Normalized_Metrics'!$N$2:$N$4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Avg Speed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'03_Normalized_Metrics'!$K$2:$K$4</c:f>
              <c:strCache>
                <c:ptCount val="0"/>
              </c:strCache>
            </c:strRef>
          </c:cat>
          <c:val>
            <c:numRef>
              <c:f>'03_Normalized_Metrics'!$O$2:$O$4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3f33a317d41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tatsTable" displayName="RawStatsTable" ref="A1:P15" headerRowCount="1">
  <x:autoFilter ref="A1:P15"/>
  <x:tableColumns count="16">
    <x:tableColumn id="1" name="Race"/>
    <x:tableColumn id="2" name="Category"/>
    <x:tableColumn id="3" name="Name"/>
    <x:tableColumn id="4" name="Minerals"/>
    <x:tableColumn id="5" name="Gas"/>
    <x:tableColumn id="6" name="Supply"/>
    <x:tableColumn id="7" name="Build Time"/>
    <x:tableColumn id="8" name="HP"/>
    <x:tableColumn id="9" name="Shields"/>
    <x:tableColumn id="10" name="Damage"/>
    <x:tableColumn id="11" name="DPS"/>
    <x:tableColumn id="12" name="Range"/>
    <x:tableColumn id="13" name="Speed"/>
    <x:tableColumn id="14" name="5.0.16 Note"/>
    <x:tableColumn id="15" name="Primary Source URL"/>
    <x:tableColumn id="16" name="Cross-check URL"/>
  </x:tableColumns>
  <x:tableStyleInfo name="TableStyleMedium2" showRowStripes="1"/>
</x:table>
</file>

<file path=xl/tables/table2.xml><?xml version="1.0" encoding="utf-8"?>
<x:table xmlns:x="http://schemas.openxmlformats.org/spreadsheetml/2006/main" id="2" name="SimplifiedRaceTable" displayName="SimplifiedRaceTable" ref="A1:N13" headerRowCount="1">
  <x:autoFilter ref="A1:N13"/>
  <x:tableColumns count="14">
    <x:tableColumn id="1" name="Race"/>
    <x:tableColumn id="2" name="Kind"/>
    <x:tableColumn id="3" name="ID"/>
    <x:tableColumn id="4" name="Label"/>
    <x:tableColumn id="5" name="Role"/>
    <x:tableColumn id="6" name="Cost"/>
    <x:tableColumn id="7" name="Train Time"/>
    <x:tableColumn id="8" name="Spawn Count"/>
    <x:tableColumn id="9" name="HP L1"/>
    <x:tableColumn id="10" name="Shield L1"/>
    <x:tableColumn id="11" name="Damage L1"/>
    <x:tableColumn id="12" name="Range L1"/>
    <x:tableColumn id="13" name="Speed L1"/>
    <x:tableColumn id="14" name="Design Note"/>
  </x:tableColumns>
  <x:tableStyleInfo name="TableStyleMedium2" showRowStripes="1"/>
</x:table>
</file>

<file path=xl/tables/table3.xml><?xml version="1.0" encoding="utf-8"?>
<x:table xmlns:x="http://schemas.openxmlformats.org/spreadsheetml/2006/main" id="3" name="CurrentGameMapTable" displayName="CurrentGameMapTable" ref="A1:C10" headerRowCount="1">
  <x:autoFilter ref="A1:C10"/>
  <x:tableColumns count="3">
    <x:tableColumn id="1" name="Interface / Surface"/>
    <x:tableColumn id="2" name="Location"/>
    <x:tableColumn id="3" name="Implemen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e7667329a4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4cc7cb43c3e4f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7bdbcea5d0440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a5416bfca24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星际 2 三族参考与原创简化方案</x:v>
      </x:c>
      <x:c r="B1" s="2"/>
      <x:c r="C1" s="2"/>
      <x:c r="D1" s="2"/>
      <x:c r="E1" s="2"/>
      <x:c r="F1" s="2"/>
      <x:c r="G1" s="2"/>
      <x:c r="H1" s="2"/>
    </x:row>
    <x:row r="3">
      <x:c r="A3" s="14" t="str">
        <x:v>范围</x:v>
      </x:c>
      <x:c r="B3" s="15" t="str">
        <x:v>Legacy of the Void 多人对战三族设计参考；不包含战役、合作任务或编辑器单位。</x:v>
      </x:c>
      <x:c r="C3" s="15" t="str"/>
      <x:c r="D3" s="15" t="str"/>
      <x:c r="E3" s="15" t="str"/>
      <x:c r="F3" s="15" t="str"/>
      <x:c r="G3" s="15" t="str"/>
      <x:c r="H3" s="16" t="str"/>
    </x:row>
    <x:row r="4">
      <x:c r="A4" s="17" t="str">
        <x:v>补丁基准</x:v>
      </x:c>
      <x:c r="B4" s="18" t="str">
        <x:v>截至 2026-06-28，采用 Blizzard StarCraft II 5.0.16 Patch Notes。</x:v>
      </x:c>
      <x:c r="C4" s="18" t="str"/>
      <x:c r="D4" s="18" t="str"/>
      <x:c r="E4" s="18" t="str"/>
      <x:c r="F4" s="18" t="str"/>
      <x:c r="G4" s="18" t="str"/>
      <x:c r="H4" s="19" t="str"/>
    </x:row>
    <x:row r="5">
      <x:c r="A5" s="17" t="str">
        <x:v>非照搬原则</x:v>
      </x:c>
      <x:c r="B5" s="18" t="str">
        <x:v>游戏内仅使用原创种族名、原创单位名、几何视觉和重新缩放后的数值体验。</x:v>
      </x:c>
      <x:c r="C5" s="18" t="str"/>
      <x:c r="D5" s="18" t="str"/>
      <x:c r="E5" s="18" t="str"/>
      <x:c r="F5" s="18" t="str"/>
      <x:c r="G5" s="18" t="str"/>
      <x:c r="H5" s="19" t="str"/>
    </x:row>
    <x:row r="6">
      <x:c r="A6" s="17" t="str">
        <x:v>交付内容</x:v>
      </x:c>
      <x:c r="B6" s="18" t="str">
        <x:v>种族定位、代表性原始数值、归一化指标、原创三族方案、当前代码映射和调参记录。</x:v>
      </x:c>
      <x:c r="C6" s="18" t="str"/>
      <x:c r="D6" s="18" t="str"/>
      <x:c r="E6" s="18" t="str"/>
      <x:c r="F6" s="18" t="str"/>
      <x:c r="G6" s="18" t="str"/>
      <x:c r="H6" s="19" t="str"/>
    </x:row>
    <x:row r="7">
      <x:c r="A7" s="17" t="str">
        <x:v>主要来源</x:v>
      </x:c>
      <x:c r="B7" s="18" t="str">
        <x:v>https://news.blizzard.com/en-us/article/24259080/starcraft-ii-5-0-16-patch-notes</x:v>
      </x:c>
      <x:c r="C7" s="18" t="str"/>
      <x:c r="D7" s="18" t="str"/>
      <x:c r="E7" s="18" t="str"/>
      <x:c r="F7" s="18" t="str"/>
      <x:c r="G7" s="18" t="str"/>
      <x:c r="H7" s="19" t="str"/>
    </x:row>
    <x:row r="8">
      <x:c r="A8" s="17" t="str">
        <x:v>单位数值来源</x:v>
      </x:c>
      <x:c r="B8" s="18" t="str">
        <x:v>https://liquipedia.net/starcraft2/Unit_Statistics_%28Legacy_of_the_Void%29</x:v>
      </x:c>
      <x:c r="C8" s="18" t="str"/>
      <x:c r="D8" s="18" t="str"/>
      <x:c r="E8" s="18" t="str"/>
      <x:c r="F8" s="18" t="str"/>
      <x:c r="G8" s="18" t="str"/>
      <x:c r="H8" s="19" t="str"/>
    </x:row>
    <x:row r="9">
      <x:c r="A9" s="17" t="str">
        <x:v>交叉参考</x:v>
      </x:c>
      <x:c r="B9" s="18" t="str">
        <x:v>https://unitstatistics.com/starcraft2/</x:v>
      </x:c>
      <x:c r="C9" s="18" t="str"/>
      <x:c r="D9" s="18" t="str"/>
      <x:c r="E9" s="18" t="str"/>
      <x:c r="F9" s="18" t="str"/>
      <x:c r="G9" s="18" t="str"/>
      <x:c r="H9" s="19" t="str"/>
    </x:row>
    <x:row r="10">
      <x:c r="A10" s="20" t="str">
        <x:v>注意</x:v>
      </x:c>
      <x:c r="B10" s="21" t="str">
        <x:v>表中星际 2 名称只用于设计研究；实现中不使用其 IP 名称、美术或剧情表达。</x:v>
      </x:c>
      <x:c r="C10" s="21" t="str"/>
      <x:c r="D10" s="21" t="str"/>
      <x:c r="E10" s="21" t="str"/>
      <x:c r="F10" s="21" t="str"/>
      <x:c r="G10" s="21" t="str"/>
      <x:c r="H10" s="22" t="str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5" t="str">
        <x:v>Race</x:v>
      </x:c>
      <x:c r="B1" s="26" t="str">
        <x:v>Fantasy</x:v>
      </x:c>
      <x:c r="C1" s="26" t="str">
        <x:v>Economy/Production</x:v>
      </x:c>
      <x:c r="D1" s="26" t="str">
        <x:v>Army Strength</x:v>
      </x:c>
      <x:c r="E1" s="26" t="str">
        <x:v>Weakness</x:v>
      </x:c>
      <x:c r="F1" s="26" t="str">
        <x:v>Numeric Feel</x:v>
      </x:c>
      <x:c r="G1" s="27" t="str">
        <x:v>Simplified Mapping</x:v>
      </x:c>
    </x:row>
    <x:row r="2">
      <x:c r="A2" s="31" t="str">
        <x:v>Terran</x:v>
      </x:c>
      <x:c r="B2" s="31" t="str">
        <x:v>工业、人类、可搬迁生产与防守阵地</x:v>
      </x:c>
      <x:c r="C2" s="31" t="str">
        <x:v>MULE/矿骡经济爆发、建筑可飞起重部署、反应堆/科技挂件改变产能</x:v>
      </x:c>
      <x:c r="D2" s="31" t="str">
        <x:v>高泛用火力、医疗运输、攻防节奏灵活，正面阵地和多线骚扰都强</x:v>
      </x:c>
      <x:c r="E2" s="31" t="str">
        <x:v>需要操作和站位，核心单位依赖技能/补给/科技支持</x:v>
      </x:c>
      <x:c r="F2" s="31" t="str">
        <x:v>中速成型，能龟能压，单位效率来自组合而非单体数值</x:v>
      </x:c>
      <x:c r="G2" s="31" t="str">
        <x:v>钢契军团：耐久建筑 + 稳定队列 + 中等价格火力</x:v>
      </x:c>
    </x:row>
    <x:row r="3">
      <x:c r="A3" s="32" t="str">
        <x:v>Protoss</x:v>
      </x:c>
      <x:c r="B3" s="32" t="str">
        <x:v>高科技、精英单位、护盾与折跃</x:v>
      </x:c>
      <x:c r="C3" s="32" t="str">
        <x:v>护盾可回复，折跃缩短前线补兵距离，单兵质量高</x:v>
      </x:c>
      <x:c r="D3" s="32" t="str">
        <x:v>单位昂贵但强，关键科技/技能决定战斗上限</x:v>
      </x:c>
      <x:c r="E3" s="32" t="str">
        <x:v>前期损失惩罚大，产能和科技节点被打断会明显失速</x:v>
      </x:c>
      <x:c r="F3" s="32" t="str">
        <x:v>慢热但爆发强，少量部队也有压迫感</x:v>
      </x:c>
      <x:c r="G3" s="32" t="str">
        <x:v>星辉圣庭：高成本精英 + 护盾回复 + 少量强正面</x:v>
      </x:c>
    </x:row>
    <x:row r="4">
      <x:c r="A4" s="33" t="str">
        <x:v>Zerg</x:v>
      </x:c>
      <x:c r="B4" s="33" t="str">
        <x:v>生物群落、幼虫经济、虫毯与数量优势</x:v>
      </x:c>
      <x:c r="C4" s="33" t="str">
        <x:v>幼虫把经济和军队产能绑定，菌毯提供地图控制和速度，单位低价量大</x:v>
      </x:c>
      <x:c r="D4" s="33" t="str">
        <x:v>扩张快、补兵快、包夹强，能用数量和机动性滚动优势</x:v>
      </x:c>
      <x:c r="E4" s="33" t="str">
        <x:v>单体脆，防守依赖侦查、铺场和及时转产</x:v>
      </x:c>
      <x:c r="F4" s="33" t="str">
        <x:v>快节奏、高波次，优势来自连续生产和地图覆盖</x:v>
      </x:c>
      <x:c r="G4" s="33" t="str">
        <x:v>巢潮集群：低价高速 + 一次训练多单位 + 更高单位上限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>
      <x:c r="A1" s="36" t="str">
        <x:v>Race</x:v>
      </x:c>
      <x:c r="B1" s="37" t="str">
        <x:v>Category</x:v>
      </x:c>
      <x:c r="C1" s="37" t="str">
        <x:v>Name</x:v>
      </x:c>
      <x:c r="D1" s="37" t="str">
        <x:v>Minerals</x:v>
      </x:c>
      <x:c r="E1" s="37" t="str">
        <x:v>Gas</x:v>
      </x:c>
      <x:c r="F1" s="37" t="str">
        <x:v>Supply</x:v>
      </x:c>
      <x:c r="G1" s="37" t="str">
        <x:v>Build Time</x:v>
      </x:c>
      <x:c r="H1" s="37" t="str">
        <x:v>HP</x:v>
      </x:c>
      <x:c r="I1" s="37" t="str">
        <x:v>Shields</x:v>
      </x:c>
      <x:c r="J1" s="37" t="str">
        <x:v>Damage</x:v>
      </x:c>
      <x:c r="K1" s="37" t="str">
        <x:v>DPS</x:v>
      </x:c>
      <x:c r="L1" s="37" t="str">
        <x:v>Range</x:v>
      </x:c>
      <x:c r="M1" s="37" t="str">
        <x:v>Speed</x:v>
      </x:c>
      <x:c r="N1" s="37" t="str">
        <x:v>5.0.16 Note</x:v>
      </x:c>
      <x:c r="O1" s="37" t="str">
        <x:v>Primary Source URL</x:v>
      </x:c>
      <x:c r="P1" s="38" t="str">
        <x:v>Cross-check URL</x:v>
      </x:c>
    </x:row>
    <x:row r="2">
      <x:c r="A2" s="31" t="str">
        <x:v>Terran</x:v>
      </x:c>
      <x:c r="B2" s="31" t="str">
        <x:v>Unit</x:v>
      </x:c>
      <x:c r="C2" s="31" t="str">
        <x:v>Marine</x:v>
      </x:c>
      <x:c r="D2" s="39" t="n">
        <x:v>50</x:v>
      </x:c>
      <x:c r="E2" s="39" t="n">
        <x:v>0</x:v>
      </x:c>
      <x:c r="F2" s="39" t="n">
        <x:v>1</x:v>
      </x:c>
      <x:c r="G2" s="39" t="n">
        <x:v>18</x:v>
      </x:c>
      <x:c r="H2" s="39" t="n">
        <x:v>45</x:v>
      </x:c>
      <x:c r="I2" s="39" t="n">
        <x:v>0</x:v>
      </x:c>
      <x:c r="J2" s="39" t="n">
        <x:v>6</x:v>
      </x:c>
      <x:c r="K2" s="39" t="n">
        <x:v>9.8</x:v>
      </x:c>
      <x:c r="L2" s="39" t="n">
        <x:v>5</x:v>
      </x:c>
      <x:c r="M2" s="39" t="n">
        <x:v>3.15</x:v>
      </x:c>
      <x:c r="N2" s="31" t="str">
        <x:v>5.0.16 未直接改动；仍是低价远程火力基准。</x:v>
      </x:c>
      <x:c r="O2" s="31" t="str">
        <x:v>https://liquipedia.net/starcraft2/Unit_Statistics_%28Legacy_of_the_Void%29</x:v>
      </x:c>
      <x:c r="P2" s="31" t="str">
        <x:v>https://unitstatistics.com/starcraft2/</x:v>
      </x:c>
    </x:row>
    <x:row r="3">
      <x:c r="A3" s="32" t="str">
        <x:v>Terran</x:v>
      </x:c>
      <x:c r="B3" s="32" t="str">
        <x:v>Unit</x:v>
      </x:c>
      <x:c r="C3" s="32" t="str">
        <x:v>Marauder</x:v>
      </x:c>
      <x:c r="D3" s="40" t="n">
        <x:v>100</x:v>
      </x:c>
      <x:c r="E3" s="40" t="n">
        <x:v>25</x:v>
      </x:c>
      <x:c r="F3" s="40" t="n">
        <x:v>2</x:v>
      </x:c>
      <x:c r="G3" s="40" t="n">
        <x:v>21</x:v>
      </x:c>
      <x:c r="H3" s="40" t="n">
        <x:v>125</x:v>
      </x:c>
      <x:c r="I3" s="40" t="n">
        <x:v>0</x:v>
      </x:c>
      <x:c r="J3" s="40" t="n">
        <x:v>10</x:v>
      </x:c>
      <x:c r="K3" s="40" t="n">
        <x:v>9.3</x:v>
      </x:c>
      <x:c r="L3" s="40" t="n">
        <x:v>6</x:v>
      </x:c>
      <x:c r="M3" s="40" t="n">
        <x:v>3.15</x:v>
      </x:c>
      <x:c r="N3" s="32" t="str">
        <x:v>5.0.16 未直接改动；体现重甲克制和中等耐久。</x:v>
      </x:c>
      <x:c r="O3" s="32" t="str">
        <x:v>https://liquipedia.net/starcraft2/Unit_Statistics_%28Legacy_of_the_Void%29</x:v>
      </x:c>
      <x:c r="P3" s="32" t="str">
        <x:v>https://unitstatistics.com/starcraft2/</x:v>
      </x:c>
    </x:row>
    <x:row r="4">
      <x:c r="A4" s="32" t="str">
        <x:v>Terran</x:v>
      </x:c>
      <x:c r="B4" s="32" t="str">
        <x:v>Unit</x:v>
      </x:c>
      <x:c r="C4" s="32" t="str">
        <x:v>Siege Tank</x:v>
      </x:c>
      <x:c r="D4" s="40" t="n">
        <x:v>150</x:v>
      </x:c>
      <x:c r="E4" s="40" t="n">
        <x:v>125</x:v>
      </x:c>
      <x:c r="F4" s="40" t="n">
        <x:v>3</x:v>
      </x:c>
      <x:c r="G4" s="40" t="n">
        <x:v>32</x:v>
      </x:c>
      <x:c r="H4" s="40" t="n">
        <x:v>175</x:v>
      </x:c>
      <x:c r="I4" s="40" t="n">
        <x:v>0</x:v>
      </x:c>
      <x:c r="J4" s="40" t="n">
        <x:v>40</x:v>
      </x:c>
      <x:c r="K4" s="40" t="n">
        <x:v>18.69</x:v>
      </x:c>
      <x:c r="L4" s="40" t="n">
        <x:v>13</x:v>
      </x:c>
      <x:c r="M4" s="40" t="n">
        <x:v>3.15</x:v>
      </x:c>
      <x:c r="N4" s="32" t="str">
        <x:v>5.0.16 虫族 Viper Abduct 可作用于架起坦克，阵地风险上升。</x:v>
      </x:c>
      <x:c r="O4" s="32" t="str">
        <x:v>https://news.blizzard.com/en-us/article/24259080/starcraft-ii-5-0-16-patch-notes</x:v>
      </x:c>
      <x:c r="P4" s="32" t="str">
        <x:v>https://liquipedia.net/starcraft2/Unit_Statistics_%28Legacy_of_the_Void%29</x:v>
      </x:c>
    </x:row>
    <x:row r="5">
      <x:c r="A5" s="32" t="str">
        <x:v>Protoss</x:v>
      </x:c>
      <x:c r="B5" s="32" t="str">
        <x:v>Unit</x:v>
      </x:c>
      <x:c r="C5" s="32" t="str">
        <x:v>Zealot</x:v>
      </x:c>
      <x:c r="D5" s="40" t="n">
        <x:v>100</x:v>
      </x:c>
      <x:c r="E5" s="40" t="n">
        <x:v>0</x:v>
      </x:c>
      <x:c r="F5" s="40" t="n">
        <x:v>2</x:v>
      </x:c>
      <x:c r="G5" s="40" t="n">
        <x:v>27</x:v>
      </x:c>
      <x:c r="H5" s="40" t="n">
        <x:v>100</x:v>
      </x:c>
      <x:c r="I5" s="40" t="n">
        <x:v>50</x:v>
      </x:c>
      <x:c r="J5" s="40" t="n">
        <x:v>16</x:v>
      </x:c>
      <x:c r="K5" s="40" t="n">
        <x:v>18.6</x:v>
      </x:c>
      <x:c r="L5" s="40" t="n">
        <x:v>0.1</x:v>
      </x:c>
      <x:c r="M5" s="40" t="n">
        <x:v>3.15</x:v>
      </x:c>
      <x:c r="N5" s="32" t="str">
        <x:v>5.0.16 Warpgate 冷却从 20 到 22，补兵节奏放慢。</x:v>
      </x:c>
      <x:c r="O5" s="32" t="str">
        <x:v>https://news.blizzard.com/en-us/article/24259080/starcraft-ii-5-0-16-patch-notes</x:v>
      </x:c>
      <x:c r="P5" s="32" t="str">
        <x:v>https://liquipedia.net/starcraft2/Unit_Statistics_%28Legacy_of_the_Void%29</x:v>
      </x:c>
    </x:row>
    <x:row r="6">
      <x:c r="A6" s="32" t="str">
        <x:v>Protoss</x:v>
      </x:c>
      <x:c r="B6" s="32" t="str">
        <x:v>Unit</x:v>
      </x:c>
      <x:c r="C6" s="32" t="str">
        <x:v>Stalker</x:v>
      </x:c>
      <x:c r="D6" s="40" t="n">
        <x:v>125</x:v>
      </x:c>
      <x:c r="E6" s="40" t="n">
        <x:v>50</x:v>
      </x:c>
      <x:c r="F6" s="40" t="n">
        <x:v>2</x:v>
      </x:c>
      <x:c r="G6" s="40" t="n">
        <x:v>27</x:v>
      </x:c>
      <x:c r="H6" s="40" t="n">
        <x:v>80</x:v>
      </x:c>
      <x:c r="I6" s="40" t="n">
        <x:v>80</x:v>
      </x:c>
      <x:c r="J6" s="40" t="n">
        <x:v>13</x:v>
      </x:c>
      <x:c r="K6" s="40" t="n">
        <x:v>9.7</x:v>
      </x:c>
      <x:c r="L6" s="40" t="n">
        <x:v>6</x:v>
      </x:c>
      <x:c r="M6" s="40" t="n">
        <x:v>4.13</x:v>
      </x:c>
      <x:c r="N6" s="32" t="str">
        <x:v>5.0.16 Warpgate 冷却从 23 到 22，基础机动单位补兵略快。</x:v>
      </x:c>
      <x:c r="O6" s="32" t="str">
        <x:v>https://news.blizzard.com/en-us/article/24259080/starcraft-ii-5-0-16-patch-notes</x:v>
      </x:c>
      <x:c r="P6" s="32" t="str">
        <x:v>https://liquipedia.net/starcraft2/Unit_Statistics_%28Legacy_of_the_Void%29</x:v>
      </x:c>
    </x:row>
    <x:row r="7">
      <x:c r="A7" s="32" t="str">
        <x:v>Protoss</x:v>
      </x:c>
      <x:c r="B7" s="32" t="str">
        <x:v>Unit</x:v>
      </x:c>
      <x:c r="C7" s="32" t="str">
        <x:v>Immortal</x:v>
      </x:c>
      <x:c r="D7" s="40" t="n">
        <x:v>250</x:v>
      </x:c>
      <x:c r="E7" s="40" t="n">
        <x:v>100</x:v>
      </x:c>
      <x:c r="F7" s="40" t="n">
        <x:v>4</x:v>
      </x:c>
      <x:c r="G7" s="40" t="n">
        <x:v>39</x:v>
      </x:c>
      <x:c r="H7" s="40" t="n">
        <x:v>200</x:v>
      </x:c>
      <x:c r="I7" s="40" t="n">
        <x:v>100</x:v>
      </x:c>
      <x:c r="J7" s="40" t="n">
        <x:v>20</x:v>
      </x:c>
      <x:c r="K7" s="40" t="n">
        <x:v>17.5</x:v>
      </x:c>
      <x:c r="L7" s="40" t="n">
        <x:v>6</x:v>
      </x:c>
      <x:c r="M7" s="40" t="n">
        <x:v>3.15</x:v>
      </x:c>
      <x:c r="N7" s="32" t="str">
        <x:v>5.0.16 主要为 Barrier 音效/视觉修复；仍代表高质量反重甲。</x:v>
      </x:c>
      <x:c r="O7" s="32" t="str">
        <x:v>https://news.blizzard.com/en-us/article/24259080/starcraft-ii-5-0-16-patch-notes</x:v>
      </x:c>
      <x:c r="P7" s="32" t="str">
        <x:v>https://liquipedia.net/starcraft2/Unit_Statistics_%28Legacy_of_the_Void%29</x:v>
      </x:c>
    </x:row>
    <x:row r="8">
      <x:c r="A8" s="32" t="str">
        <x:v>Zerg</x:v>
      </x:c>
      <x:c r="B8" s="32" t="str">
        <x:v>Unit</x:v>
      </x:c>
      <x:c r="C8" s="32" t="str">
        <x:v>Zergling</x:v>
      </x:c>
      <x:c r="D8" s="40" t="n">
        <x:v>25</x:v>
      </x:c>
      <x:c r="E8" s="40" t="n">
        <x:v>0</x:v>
      </x:c>
      <x:c r="F8" s="40" t="n">
        <x:v>0.5</x:v>
      </x:c>
      <x:c r="G8" s="40" t="n">
        <x:v>17</x:v>
      </x:c>
      <x:c r="H8" s="40" t="n">
        <x:v>35</x:v>
      </x:c>
      <x:c r="I8" s="40" t="n">
        <x:v>0</x:v>
      </x:c>
      <x:c r="J8" s="40" t="n">
        <x:v>5</x:v>
      </x:c>
      <x:c r="K8" s="40" t="n">
        <x:v>10</x:v>
      </x:c>
      <x:c r="L8" s="40" t="n">
        <x:v>0.1</x:v>
      </x:c>
      <x:c r="M8" s="40" t="n">
        <x:v>4.13</x:v>
      </x:c>
      <x:c r="N8" s="32" t="str">
        <x:v>5.0.16 资源和幼虫节奏调整间接影响低价单位波次。</x:v>
      </x:c>
      <x:c r="O8" s="32" t="str">
        <x:v>https://news.blizzard.com/en-us/article/24259080/starcraft-ii-5-0-16-patch-notes</x:v>
      </x:c>
      <x:c r="P8" s="32" t="str">
        <x:v>https://liquipedia.net/starcraft2/Unit_Statistics_%28Legacy_of_the_Void%29</x:v>
      </x:c>
    </x:row>
    <x:row r="9">
      <x:c r="A9" s="32" t="str">
        <x:v>Zerg</x:v>
      </x:c>
      <x:c r="B9" s="32" t="str">
        <x:v>Unit</x:v>
      </x:c>
      <x:c r="C9" s="32" t="str">
        <x:v>Roach</x:v>
      </x:c>
      <x:c r="D9" s="40" t="n">
        <x:v>75</x:v>
      </x:c>
      <x:c r="E9" s="40" t="n">
        <x:v>25</x:v>
      </x:c>
      <x:c r="F9" s="40" t="n">
        <x:v>2</x:v>
      </x:c>
      <x:c r="G9" s="40" t="n">
        <x:v>19</x:v>
      </x:c>
      <x:c r="H9" s="40" t="n">
        <x:v>145</x:v>
      </x:c>
      <x:c r="I9" s="40" t="n">
        <x:v>0</x:v>
      </x:c>
      <x:c r="J9" s="40" t="n">
        <x:v>16</x:v>
      </x:c>
      <x:c r="K9" s="40" t="n">
        <x:v>11.2</x:v>
      </x:c>
      <x:c r="L9" s="40" t="n">
        <x:v>4</x:v>
      </x:c>
      <x:c r="M9" s="40" t="n">
        <x:v>3.15</x:v>
      </x:c>
      <x:c r="N9" s="32" t="str">
        <x:v>5.0.16 未直接改动；代表虫族低科技耐久单位。</x:v>
      </x:c>
      <x:c r="O9" s="32" t="str">
        <x:v>https://liquipedia.net/starcraft2/Unit_Statistics_%28Legacy_of_the_Void%29</x:v>
      </x:c>
      <x:c r="P9" s="32" t="str">
        <x:v>https://unitstatistics.com/starcraft2/</x:v>
      </x:c>
    </x:row>
    <x:row r="10">
      <x:c r="A10" s="32" t="str">
        <x:v>Zerg</x:v>
      </x:c>
      <x:c r="B10" s="32" t="str">
        <x:v>Unit</x:v>
      </x:c>
      <x:c r="C10" s="32" t="str">
        <x:v>Hydralisk</x:v>
      </x:c>
      <x:c r="D10" s="40" t="n">
        <x:v>100</x:v>
      </x:c>
      <x:c r="E10" s="40" t="n">
        <x:v>50</x:v>
      </x:c>
      <x:c r="F10" s="40" t="n">
        <x:v>2</x:v>
      </x:c>
      <x:c r="G10" s="40" t="n">
        <x:v>24</x:v>
      </x:c>
      <x:c r="H10" s="40" t="n">
        <x:v>90</x:v>
      </x:c>
      <x:c r="I10" s="40" t="n">
        <x:v>0</x:v>
      </x:c>
      <x:c r="J10" s="40" t="n">
        <x:v>12</x:v>
      </x:c>
      <x:c r="K10" s="40" t="n">
        <x:v>20.4</x:v>
      </x:c>
      <x:c r="L10" s="40" t="n">
        <x:v>5</x:v>
      </x:c>
      <x:c r="M10" s="40" t="n">
        <x:v>3.15</x:v>
      </x:c>
      <x:c r="N10" s="32" t="str">
        <x:v>5.0.16 虫族防守/科技环境变化会影响其登场窗口。</x:v>
      </x:c>
      <x:c r="O10" s="32" t="str">
        <x:v>https://news.blizzard.com/en-us/article/24259080/starcraft-ii-5-0-16-patch-notes</x:v>
      </x:c>
      <x:c r="P10" s="32" t="str">
        <x:v>https://liquipedia.net/starcraft2/Unit_Statistics_%28Legacy_of_the_Void%29</x:v>
      </x:c>
    </x:row>
    <x:row r="11">
      <x:c r="A11" s="32" t="str">
        <x:v>Terran</x:v>
      </x:c>
      <x:c r="B11" s="32" t="str">
        <x:v>Key building</x:v>
      </x:c>
      <x:c r="C11" s="32" t="str">
        <x:v>Command Center</x:v>
      </x:c>
      <x:c r="D11" s="40" t="n">
        <x:v>400</x:v>
      </x:c>
      <x:c r="E11" s="40" t="n">
        <x:v>0</x:v>
      </x:c>
      <x:c r="F11" s="40" t="n">
        <x:v>0</x:v>
      </x:c>
      <x:c r="G11" s="40" t="n">
        <x:v>71</x:v>
      </x:c>
      <x:c r="H11" s="40" t="n">
        <x:v>1500</x:v>
      </x:c>
      <x:c r="I11" s="40" t="n">
        <x:v>0</x:v>
      </x:c>
      <x:c r="J11" s="40" t="n">
        <x:v>0</x:v>
      </x:c>
      <x:c r="K11" s="40" t="n">
        <x:v>0</x:v>
      </x:c>
      <x:c r="L11" s="40" t="n">
        <x:v>0</x:v>
      </x:c>
      <x:c r="M11" s="40" t="n">
        <x:v>0</x:v>
      </x:c>
      <x:c r="N11" s="32" t="str">
        <x:v>5.0.16 提供补给从 15 降到 13，开局补给压力上升。</x:v>
      </x:c>
      <x:c r="O11" s="32" t="str">
        <x:v>https://news.blizzard.com/en-us/article/24259080/starcraft-ii-5-0-16-patch-notes</x:v>
      </x:c>
      <x:c r="P11" s="32" t="str">
        <x:v>https://liquipedia.net/starcraft2/Unit_Statistics_%28Legacy_of_the_Void%29</x:v>
      </x:c>
    </x:row>
    <x:row r="12">
      <x:c r="A12" s="32" t="str">
        <x:v>Protoss</x:v>
      </x:c>
      <x:c r="B12" s="32" t="str">
        <x:v>Key building</x:v>
      </x:c>
      <x:c r="C12" s="32" t="str">
        <x:v>Nexus</x:v>
      </x:c>
      <x:c r="D12" s="40" t="n">
        <x:v>400</x:v>
      </x:c>
      <x:c r="E12" s="40" t="n">
        <x:v>0</x:v>
      </x:c>
      <x:c r="F12" s="40" t="n">
        <x:v>0</x:v>
      </x:c>
      <x:c r="G12" s="40" t="n">
        <x:v>71</x:v>
      </x:c>
      <x:c r="H12" s="40" t="n">
        <x:v>1000</x:v>
      </x:c>
      <x:c r="I12" s="40" t="n">
        <x:v>1000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32" t="str">
        <x:v>5.0.16 提供补给从 15 降到 13；折跃和防守节奏同步调整。</x:v>
      </x:c>
      <x:c r="O12" s="32" t="str">
        <x:v>https://news.blizzard.com/en-us/article/24259080/starcraft-ii-5-0-16-patch-notes</x:v>
      </x:c>
      <x:c r="P12" s="32" t="str">
        <x:v>https://liquipedia.net/starcraft2/Unit_Statistics_%28Legacy_of_the_Void%29</x:v>
      </x:c>
    </x:row>
    <x:row r="13">
      <x:c r="A13" s="32" t="str">
        <x:v>Zerg</x:v>
      </x:c>
      <x:c r="B13" s="32" t="str">
        <x:v>Key building</x:v>
      </x:c>
      <x:c r="C13" s="32" t="str">
        <x:v>Hatchery</x:v>
      </x:c>
      <x:c r="D13" s="40" t="n">
        <x:v>300</x:v>
      </x:c>
      <x:c r="E13" s="40" t="n">
        <x:v>0</x:v>
      </x:c>
      <x:c r="F13" s="40" t="n">
        <x:v>0</x:v>
      </x:c>
      <x:c r="G13" s="40" t="n">
        <x:v>71</x:v>
      </x:c>
      <x:c r="H13" s="40" t="n">
        <x:v>1500</x:v>
      </x:c>
      <x:c r="I13" s="40" t="n">
        <x:v>0</x:v>
      </x:c>
      <x:c r="J13" s="40" t="n">
        <x:v>0</x:v>
      </x:c>
      <x:c r="K13" s="40" t="n">
        <x:v>0</x:v>
      </x:c>
      <x:c r="L13" s="40" t="n">
        <x:v>0</x:v>
      </x:c>
      <x:c r="M13" s="40" t="n">
        <x:v>0</x:v>
      </x:c>
      <x:c r="N13" s="32" t="str">
        <x:v>5.0.16 费用从 275 到 300，补给从 6 到 4，幼虫周期从 10.7s 到 9.5s。</x:v>
      </x:c>
      <x:c r="O13" s="32" t="str">
        <x:v>https://news.blizzard.com/en-us/article/24259080/starcraft-ii-5-0-16-patch-notes</x:v>
      </x:c>
      <x:c r="P13" s="32" t="str">
        <x:v>https://liquipedia.net/starcraft2/Unit_Statistics_%28Legacy_of_the_Void%29</x:v>
      </x:c>
    </x:row>
    <x:row r="14">
      <x:c r="A14" s="32" t="str">
        <x:v>Protoss</x:v>
      </x:c>
      <x:c r="B14" s="32" t="str">
        <x:v>Key building</x:v>
      </x:c>
      <x:c r="C14" s="32" t="str">
        <x:v>Shield Battery</x:v>
      </x:c>
      <x:c r="D14" s="40" t="n">
        <x:v>100</x:v>
      </x:c>
      <x:c r="E14" s="40" t="n">
        <x:v>0</x:v>
      </x:c>
      <x:c r="F14" s="40" t="n">
        <x:v>0</x:v>
      </x:c>
      <x:c r="G14" s="40" t="n">
        <x:v>29</x:v>
      </x:c>
      <x:c r="H14" s="40" t="n">
        <x:v>150</x:v>
      </x:c>
      <x:c r="I14" s="40" t="n">
        <x:v>150</x:v>
      </x:c>
      <x:c r="J14" s="40" t="n">
        <x:v>0</x:v>
      </x:c>
      <x:c r="K14" s="40" t="n">
        <x:v>0</x:v>
      </x:c>
      <x:c r="L14" s="40" t="n">
        <x:v>0</x:v>
      </x:c>
      <x:c r="M14" s="40" t="n">
        <x:v>0</x:v>
      </x:c>
      <x:c r="N14" s="32" t="str">
        <x:v>5.0.16 完成时初始能量为 75，前线防守更即时。</x:v>
      </x:c>
      <x:c r="O14" s="32" t="str">
        <x:v>https://news.blizzard.com/en-us/article/24259080/starcraft-ii-5-0-16-patch-notes</x:v>
      </x:c>
      <x:c r="P14" s="32" t="str">
        <x:v>https://liquipedia.net/starcraft2/Unit_Statistics_%28Legacy_of_the_Void%29</x:v>
      </x:c>
    </x:row>
    <x:row r="15">
      <x:c r="A15" s="33" t="str">
        <x:v>Zerg</x:v>
      </x:c>
      <x:c r="B15" s="33" t="str">
        <x:v>Key building</x:v>
      </x:c>
      <x:c r="C15" s="33" t="str">
        <x:v>Spore Crawler</x:v>
      </x:c>
      <x:c r="D15" s="41" t="n">
        <x:v>75</x:v>
      </x:c>
      <x:c r="E15" s="41" t="n">
        <x:v>0</x:v>
      </x:c>
      <x:c r="F15" s="41" t="n">
        <x:v>0</x:v>
      </x:c>
      <x:c r="G15" s="41" t="n">
        <x:v>21</x:v>
      </x:c>
      <x:c r="H15" s="41" t="n">
        <x:v>400</x:v>
      </x:c>
      <x:c r="I15" s="41" t="n">
        <x:v>0</x:v>
      </x:c>
      <x:c r="J15" s="41" t="n">
        <x:v>20</x:v>
      </x:c>
      <x:c r="K15" s="41" t="n">
        <x:v>20</x:v>
      </x:c>
      <x:c r="L15" s="41" t="n">
        <x:v>7</x:v>
      </x:c>
      <x:c r="M15" s="41" t="n">
        <x:v>0</x:v>
      </x:c>
      <x:c r="N15" s="33" t="str">
        <x:v>5.0.16 对 Biological 加成从 +10 到 +15。</x:v>
      </x:c>
      <x:c r="O15" s="33" t="str">
        <x:v>https://news.blizzard.com/en-us/article/24259080/starcraft-ii-5-0-16-patch-notes</x:v>
      </x:c>
      <x:c r="P15" s="33" t="str">
        <x:v>https://liquipedia.net/starcraft2/Unit_Statistics_%28Legacy_of_the_Void%29</x:v>
      </x:c>
    </x:row>
  </x:sheetData>
  <x:pageMargins left="0.7" right="0.7" top="0.75" bottom="0.75" header="0.3" footer="0.3"/>
  <x:tableParts count="1">
    <x:tablePart xmlns:r="http://schemas.openxmlformats.org/officeDocument/2006/relationships" r:id="R54e7667329a44d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44" t="str">
        <x:v>Race</x:v>
      </x:c>
      <x:c r="B1" s="45" t="str">
        <x:v>Unit</x:v>
      </x:c>
      <x:c r="C1" s="45" t="str">
        <x:v>Total Cost</x:v>
      </x:c>
      <x:c r="D1" s="45" t="str">
        <x:v>Effective HP</x:v>
      </x:c>
      <x:c r="E1" s="45" t="str">
        <x:v>Base DPS</x:v>
      </x:c>
      <x:c r="F1" s="45" t="str">
        <x:v>DPS per 100 Cost</x:v>
      </x:c>
      <x:c r="G1" s="45" t="str">
        <x:v>Range</x:v>
      </x:c>
      <x:c r="H1" s="45" t="str">
        <x:v>Speed</x:v>
      </x:c>
      <x:c r="I1" s="46" t="str">
        <x:v>Mobility Index</x:v>
      </x:c>
      <x:c r="K1" s="52" t="str">
        <x:v>Race</x:v>
      </x:c>
      <x:c r="L1" s="53" t="str">
        <x:v>Avg Cost</x:v>
      </x:c>
      <x:c r="M1" s="53" t="str">
        <x:v>Avg Effective HP</x:v>
      </x:c>
      <x:c r="N1" s="53" t="str">
        <x:v>Avg DPS</x:v>
      </x:c>
      <x:c r="O1" s="54" t="str">
        <x:v>Avg Speed</x:v>
      </x:c>
    </x:row>
    <x:row r="2">
      <x:c r="A2" s="31" t="str">
        <x:v>Terran</x:v>
      </x:c>
      <x:c r="B2" s="31" t="str">
        <x:v>Marine</x:v>
      </x:c>
      <x:c r="C2" s="47" t="n">
        <x:f>'02_SC2_Raw_Stats'!D2+('02_SC2_Raw_Stats'!E2*1.5)</x:f>
        <x:v>50</x:v>
      </x:c>
      <x:c r="D2" s="47" t="n">
        <x:f>'02_SC2_Raw_Stats'!H2+'02_SC2_Raw_Stats'!I2</x:f>
        <x:v>45</x:v>
      </x:c>
      <x:c r="E2" s="47" t="n">
        <x:f>'02_SC2_Raw_Stats'!K2</x:f>
        <x:v>9.8</x:v>
      </x:c>
      <x:c r="F2" s="47" t="n">
        <x:f>E2/C2*100</x:f>
        <x:v>19.6</x:v>
      </x:c>
      <x:c r="G2" s="47" t="n">
        <x:f>'02_SC2_Raw_Stats'!L2</x:f>
        <x:v>5</x:v>
      </x:c>
      <x:c r="H2" s="47" t="n">
        <x:f>'02_SC2_Raw_Stats'!M2</x:f>
        <x:v>3.15</x:v>
      </x:c>
      <x:c r="I2" s="47" t="n">
        <x:f>H2/3.15</x:f>
        <x:v>1</x:v>
      </x:c>
      <x:c r="K2" s="31" t="str">
        <x:v>Terran</x:v>
      </x:c>
      <x:c r="L2" s="47" t="n">
        <x:f>AVERAGE(C2:C4)</x:f>
        <x:v>175</x:v>
      </x:c>
      <x:c r="M2" s="47" t="n">
        <x:f>AVERAGE(D2:D4)</x:f>
        <x:v>115</x:v>
      </x:c>
      <x:c r="N2" s="47" t="n">
        <x:f>AVERAGE(E2:E4)</x:f>
        <x:v>12.59666666666667</x:v>
      </x:c>
      <x:c r="O2" s="47" t="n">
        <x:f>AVERAGE(H2:H4)</x:f>
        <x:v>3.15</x:v>
      </x:c>
    </x:row>
    <x:row r="3">
      <x:c r="A3" s="32" t="str">
        <x:v>Terran</x:v>
      </x:c>
      <x:c r="B3" s="32" t="str">
        <x:v>Marauder</x:v>
      </x:c>
      <x:c r="C3" s="48" t="n">
        <x:f>'02_SC2_Raw_Stats'!D3+('02_SC2_Raw_Stats'!E3*1.5)</x:f>
        <x:v>137.5</x:v>
      </x:c>
      <x:c r="D3" s="48" t="n">
        <x:f>'02_SC2_Raw_Stats'!H3+'02_SC2_Raw_Stats'!I3</x:f>
        <x:v>125</x:v>
      </x:c>
      <x:c r="E3" s="48" t="n">
        <x:f>'02_SC2_Raw_Stats'!K3</x:f>
        <x:v>9.3</x:v>
      </x:c>
      <x:c r="F3" s="48" t="n">
        <x:f>E3/C3*100</x:f>
        <x:v>6.763636363636365</x:v>
      </x:c>
      <x:c r="G3" s="48" t="n">
        <x:f>'02_SC2_Raw_Stats'!L3</x:f>
        <x:v>6</x:v>
      </x:c>
      <x:c r="H3" s="48" t="n">
        <x:f>'02_SC2_Raw_Stats'!M3</x:f>
        <x:v>3.15</x:v>
      </x:c>
      <x:c r="I3" s="48" t="n">
        <x:f>H3/3.15</x:f>
        <x:v>1</x:v>
      </x:c>
      <x:c r="K3" s="32" t="str">
        <x:v>Protoss</x:v>
      </x:c>
      <x:c r="L3" s="48" t="n">
        <x:f>AVERAGE(C5:C7)</x:f>
        <x:v>233.33333333333334</x:v>
      </x:c>
      <x:c r="M3" s="48" t="n">
        <x:f>AVERAGE(D5:D7)</x:f>
        <x:v>203.33333333333334</x:v>
      </x:c>
      <x:c r="N3" s="48" t="n">
        <x:f>AVERAGE(E5:E7)</x:f>
        <x:v>15.266666666666666</x:v>
      </x:c>
      <x:c r="O3" s="48" t="n">
        <x:f>AVERAGE(H5:H7)</x:f>
        <x:v>3.4766666666666666</x:v>
      </x:c>
    </x:row>
    <x:row r="4">
      <x:c r="A4" s="32" t="str">
        <x:v>Terran</x:v>
      </x:c>
      <x:c r="B4" s="32" t="str">
        <x:v>Siege Tank</x:v>
      </x:c>
      <x:c r="C4" s="48" t="n">
        <x:f>'02_SC2_Raw_Stats'!D4+('02_SC2_Raw_Stats'!E4*1.5)</x:f>
        <x:v>337.5</x:v>
      </x:c>
      <x:c r="D4" s="48" t="n">
        <x:f>'02_SC2_Raw_Stats'!H4+'02_SC2_Raw_Stats'!I4</x:f>
        <x:v>175</x:v>
      </x:c>
      <x:c r="E4" s="48" t="n">
        <x:f>'02_SC2_Raw_Stats'!K4</x:f>
        <x:v>18.69</x:v>
      </x:c>
      <x:c r="F4" s="48" t="n">
        <x:f>E4/C4*100</x:f>
        <x:v>5.537777777777778</x:v>
      </x:c>
      <x:c r="G4" s="48" t="n">
        <x:f>'02_SC2_Raw_Stats'!L4</x:f>
        <x:v>13</x:v>
      </x:c>
      <x:c r="H4" s="48" t="n">
        <x:f>'02_SC2_Raw_Stats'!M4</x:f>
        <x:v>3.15</x:v>
      </x:c>
      <x:c r="I4" s="48" t="n">
        <x:f>H4/3.15</x:f>
        <x:v>1</x:v>
      </x:c>
      <x:c r="K4" s="33" t="str">
        <x:v>Zerg</x:v>
      </x:c>
      <x:c r="L4" s="49" t="n">
        <x:f>AVERAGE(C8:C10)</x:f>
        <x:v>104.16666666666667</x:v>
      </x:c>
      <x:c r="M4" s="49" t="n">
        <x:f>AVERAGE(D8:D10)</x:f>
        <x:v>90</x:v>
      </x:c>
      <x:c r="N4" s="49" t="n">
        <x:f>AVERAGE(E8:E10)</x:f>
        <x:v>13.866666666666665</x:v>
      </x:c>
      <x:c r="O4" s="49" t="n">
        <x:f>AVERAGE(H8:H10)</x:f>
        <x:v>3.4766666666666666</x:v>
      </x:c>
    </x:row>
    <x:row r="5">
      <x:c r="A5" s="32" t="str">
        <x:v>Protoss</x:v>
      </x:c>
      <x:c r="B5" s="32" t="str">
        <x:v>Zealot</x:v>
      </x:c>
      <x:c r="C5" s="48" t="n">
        <x:f>'02_SC2_Raw_Stats'!D5+('02_SC2_Raw_Stats'!E5*1.5)</x:f>
        <x:v>100</x:v>
      </x:c>
      <x:c r="D5" s="48" t="n">
        <x:f>'02_SC2_Raw_Stats'!H5+'02_SC2_Raw_Stats'!I5</x:f>
        <x:v>150</x:v>
      </x:c>
      <x:c r="E5" s="48" t="n">
        <x:f>'02_SC2_Raw_Stats'!K5</x:f>
        <x:v>18.6</x:v>
      </x:c>
      <x:c r="F5" s="48" t="n">
        <x:f>E5/C5*100</x:f>
        <x:v>18.6</x:v>
      </x:c>
      <x:c r="G5" s="48" t="n">
        <x:f>'02_SC2_Raw_Stats'!L5</x:f>
        <x:v>0.1</x:v>
      </x:c>
      <x:c r="H5" s="48" t="n">
        <x:f>'02_SC2_Raw_Stats'!M5</x:f>
        <x:v>3.15</x:v>
      </x:c>
      <x:c r="I5" s="48" t="n">
        <x:f>H5/3.15</x:f>
        <x:v>1</x:v>
      </x:c>
    </x:row>
    <x:row r="6">
      <x:c r="A6" s="32" t="str">
        <x:v>Protoss</x:v>
      </x:c>
      <x:c r="B6" s="32" t="str">
        <x:v>Stalker</x:v>
      </x:c>
      <x:c r="C6" s="48" t="n">
        <x:f>'02_SC2_Raw_Stats'!D6+('02_SC2_Raw_Stats'!E6*1.5)</x:f>
        <x:v>200</x:v>
      </x:c>
      <x:c r="D6" s="48" t="n">
        <x:f>'02_SC2_Raw_Stats'!H6+'02_SC2_Raw_Stats'!I6</x:f>
        <x:v>160</x:v>
      </x:c>
      <x:c r="E6" s="48" t="n">
        <x:f>'02_SC2_Raw_Stats'!K6</x:f>
        <x:v>9.7</x:v>
      </x:c>
      <x:c r="F6" s="48" t="n">
        <x:f>E6/C6*100</x:f>
        <x:v>4.85</x:v>
      </x:c>
      <x:c r="G6" s="48" t="n">
        <x:f>'02_SC2_Raw_Stats'!L6</x:f>
        <x:v>6</x:v>
      </x:c>
      <x:c r="H6" s="48" t="n">
        <x:f>'02_SC2_Raw_Stats'!M6</x:f>
        <x:v>4.13</x:v>
      </x:c>
      <x:c r="I6" s="48" t="n">
        <x:f>H6/3.15</x:f>
        <x:v>1.3111111111111111</x:v>
      </x:c>
    </x:row>
    <x:row r="7">
      <x:c r="A7" s="32" t="str">
        <x:v>Protoss</x:v>
      </x:c>
      <x:c r="B7" s="32" t="str">
        <x:v>Immortal</x:v>
      </x:c>
      <x:c r="C7" s="48" t="n">
        <x:f>'02_SC2_Raw_Stats'!D7+('02_SC2_Raw_Stats'!E7*1.5)</x:f>
        <x:v>400</x:v>
      </x:c>
      <x:c r="D7" s="48" t="n">
        <x:f>'02_SC2_Raw_Stats'!H7+'02_SC2_Raw_Stats'!I7</x:f>
        <x:v>300</x:v>
      </x:c>
      <x:c r="E7" s="48" t="n">
        <x:f>'02_SC2_Raw_Stats'!K7</x:f>
        <x:v>17.5</x:v>
      </x:c>
      <x:c r="F7" s="48" t="n">
        <x:f>E7/C7*100</x:f>
        <x:v>4.375</x:v>
      </x:c>
      <x:c r="G7" s="48" t="n">
        <x:f>'02_SC2_Raw_Stats'!L7</x:f>
        <x:v>6</x:v>
      </x:c>
      <x:c r="H7" s="48" t="n">
        <x:f>'02_SC2_Raw_Stats'!M7</x:f>
        <x:v>3.15</x:v>
      </x:c>
      <x:c r="I7" s="48" t="n">
        <x:f>H7/3.15</x:f>
        <x:v>1</x:v>
      </x:c>
    </x:row>
    <x:row r="8">
      <x:c r="A8" s="32" t="str">
        <x:v>Zerg</x:v>
      </x:c>
      <x:c r="B8" s="32" t="str">
        <x:v>Zergling</x:v>
      </x:c>
      <x:c r="C8" s="48" t="n">
        <x:f>'02_SC2_Raw_Stats'!D8+('02_SC2_Raw_Stats'!E8*1.5)</x:f>
        <x:v>25</x:v>
      </x:c>
      <x:c r="D8" s="48" t="n">
        <x:f>'02_SC2_Raw_Stats'!H8+'02_SC2_Raw_Stats'!I8</x:f>
        <x:v>35</x:v>
      </x:c>
      <x:c r="E8" s="48" t="n">
        <x:f>'02_SC2_Raw_Stats'!K8</x:f>
        <x:v>10</x:v>
      </x:c>
      <x:c r="F8" s="48" t="n">
        <x:f>E8/C8*100</x:f>
        <x:v>40</x:v>
      </x:c>
      <x:c r="G8" s="48" t="n">
        <x:f>'02_SC2_Raw_Stats'!L8</x:f>
        <x:v>0.1</x:v>
      </x:c>
      <x:c r="H8" s="48" t="n">
        <x:f>'02_SC2_Raw_Stats'!M8</x:f>
        <x:v>4.13</x:v>
      </x:c>
      <x:c r="I8" s="48" t="n">
        <x:f>H8/3.15</x:f>
        <x:v>1.3111111111111111</x:v>
      </x:c>
    </x:row>
    <x:row r="9">
      <x:c r="A9" s="32" t="str">
        <x:v>Zerg</x:v>
      </x:c>
      <x:c r="B9" s="32" t="str">
        <x:v>Roach</x:v>
      </x:c>
      <x:c r="C9" s="48" t="n">
        <x:f>'02_SC2_Raw_Stats'!D9+('02_SC2_Raw_Stats'!E9*1.5)</x:f>
        <x:v>112.5</x:v>
      </x:c>
      <x:c r="D9" s="48" t="n">
        <x:f>'02_SC2_Raw_Stats'!H9+'02_SC2_Raw_Stats'!I9</x:f>
        <x:v>145</x:v>
      </x:c>
      <x:c r="E9" s="48" t="n">
        <x:f>'02_SC2_Raw_Stats'!K9</x:f>
        <x:v>11.2</x:v>
      </x:c>
      <x:c r="F9" s="48" t="n">
        <x:f>E9/C9*100</x:f>
        <x:v>9.955555555555556</x:v>
      </x:c>
      <x:c r="G9" s="48" t="n">
        <x:f>'02_SC2_Raw_Stats'!L9</x:f>
        <x:v>4</x:v>
      </x:c>
      <x:c r="H9" s="48" t="n">
        <x:f>'02_SC2_Raw_Stats'!M9</x:f>
        <x:v>3.15</x:v>
      </x:c>
      <x:c r="I9" s="48" t="n">
        <x:f>H9/3.15</x:f>
        <x:v>1</x:v>
      </x:c>
    </x:row>
    <x:row r="10">
      <x:c r="A10" s="33" t="str">
        <x:v>Zerg</x:v>
      </x:c>
      <x:c r="B10" s="33" t="str">
        <x:v>Hydralisk</x:v>
      </x:c>
      <x:c r="C10" s="49" t="n">
        <x:f>'02_SC2_Raw_Stats'!D10+('02_SC2_Raw_Stats'!E10*1.5)</x:f>
        <x:v>175</x:v>
      </x:c>
      <x:c r="D10" s="49" t="n">
        <x:f>'02_SC2_Raw_Stats'!H10+'02_SC2_Raw_Stats'!I10</x:f>
        <x:v>90</x:v>
      </x:c>
      <x:c r="E10" s="49" t="n">
        <x:f>'02_SC2_Raw_Stats'!K10</x:f>
        <x:v>20.4</x:v>
      </x:c>
      <x:c r="F10" s="49" t="n">
        <x:f>E10/C10*100</x:f>
        <x:v>11.657142857142857</x:v>
      </x:c>
      <x:c r="G10" s="49" t="n">
        <x:f>'02_SC2_Raw_Stats'!L10</x:f>
        <x:v>5</x:v>
      </x:c>
      <x:c r="H10" s="49" t="n">
        <x:f>'02_SC2_Raw_Stats'!M10</x:f>
        <x:v>3.15</x:v>
      </x:c>
      <x:c r="I10" s="49" t="n">
        <x:f>H10/3.15</x:f>
        <x:v>1</x:v>
      </x:c>
    </x:row>
  </x:sheetData>
  <x:pageMargins left="0.7" right="0.7" top="0.75" bottom="0.75" header="0.3" footer="0.3"/>
  <x:drawing xmlns:r="http://schemas.openxmlformats.org/officeDocument/2006/relationships" r:id="R04cc7cb43c3e4f2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44" hidden="0" customWidth="1"/>
  </x:cols>
  <x:sheetData>
    <x:row r="1">
      <x:c r="A1" s="36" t="str">
        <x:v>Race</x:v>
      </x:c>
      <x:c r="B1" s="37" t="str">
        <x:v>Kind</x:v>
      </x:c>
      <x:c r="C1" s="37" t="str">
        <x:v>ID</x:v>
      </x:c>
      <x:c r="D1" s="37" t="str">
        <x:v>Label</x:v>
      </x:c>
      <x:c r="E1" s="37" t="str">
        <x:v>Role</x:v>
      </x:c>
      <x:c r="F1" s="37" t="str">
        <x:v>Cost</x:v>
      </x:c>
      <x:c r="G1" s="37" t="str">
        <x:v>Train Time</x:v>
      </x:c>
      <x:c r="H1" s="37" t="str">
        <x:v>Spawn Count</x:v>
      </x:c>
      <x:c r="I1" s="37" t="str">
        <x:v>HP L1</x:v>
      </x:c>
      <x:c r="J1" s="37" t="str">
        <x:v>Shield L1</x:v>
      </x:c>
      <x:c r="K1" s="37" t="str">
        <x:v>Damage L1</x:v>
      </x:c>
      <x:c r="L1" s="37" t="str">
        <x:v>Range L1</x:v>
      </x:c>
      <x:c r="M1" s="37" t="str">
        <x:v>Speed L1</x:v>
      </x:c>
      <x:c r="N1" s="38" t="str">
        <x:v>Design Note</x:v>
      </x:c>
    </x:row>
    <x:row r="2">
      <x:c r="A2" s="31" t="str">
        <x:v>钢契军团</x:v>
      </x:c>
      <x:c r="B2" s="31" t="str">
        <x:v>Race</x:v>
      </x:c>
      <x:c r="C2" s="31" t="str">
        <x:v>steel</x:v>
      </x:c>
      <x:c r="D2" s="31" t="str">
        <x:v>工业阵地</x:v>
      </x:c>
      <x:c r="E2" s="31" t="str"/>
      <x:c r="F2" s="47" t="str"/>
      <x:c r="G2" s="47" t="str"/>
      <x:c r="H2" s="47" t="str"/>
      <x:c r="I2" s="47" t="str"/>
      <x:c r="J2" s="47" t="str"/>
      <x:c r="K2" s="47" t="str"/>
      <x:c r="L2" s="47" t="str"/>
      <x:c r="M2" s="47" t="str"/>
      <x:c r="N2" s="31" t="str">
        <x:v>建筑耐久 +18%，兵营队列 +1。</x:v>
      </x:c>
    </x:row>
    <x:row r="3">
      <x:c r="A3" s="32" t="str">
        <x:v>钢契军团</x:v>
      </x:c>
      <x:c r="B3" s="32" t="str">
        <x:v>Unit</x:v>
      </x:c>
      <x:c r="C3" s="32" t="str">
        <x:v>steel_vanguard</x:v>
      </x:c>
      <x:c r="D3" s="32" t="str">
        <x:v>铁卫</x:v>
      </x:c>
      <x:c r="E3" s="32" t="str">
        <x:v>前排</x:v>
      </x:c>
      <x:c r="F3" s="48" t="n">
        <x:v>36</x:v>
      </x:c>
      <x:c r="G3" s="48" t="n">
        <x:v>3</x:v>
      </x:c>
      <x:c r="H3" s="48" t="n">
        <x:v>1</x:v>
      </x:c>
      <x:c r="I3" s="48" t="n">
        <x:v>80</x:v>
      </x:c>
      <x:c r="J3" s="48" t="n">
        <x:v>0</x:v>
      </x:c>
      <x:c r="K3" s="48" t="n">
        <x:v>12</x:v>
      </x:c>
      <x:c r="L3" s="48" t="n">
        <x:v>1</x:v>
      </x:c>
      <x:c r="M3" s="48" t="n">
        <x:v>1</x:v>
      </x:c>
      <x:c r="N3" s="32" t="str">
        <x:v>中价前排，继承 Terran 稳定正面火力手感。</x:v>
      </x:c>
    </x:row>
    <x:row r="4">
      <x:c r="A4" s="32" t="str">
        <x:v>钢契军团</x:v>
      </x:c>
      <x:c r="B4" s="32" t="str">
        <x:v>Unit</x:v>
      </x:c>
      <x:c r="C4" s="32" t="str">
        <x:v>steel_gunner</x:v>
      </x:c>
      <x:c r="D4" s="32" t="str">
        <x:v>铳兵</x:v>
      </x:c>
      <x:c r="E4" s="32" t="str">
        <x:v>远程</x:v>
      </x:c>
      <x:c r="F4" s="48" t="n">
        <x:v>44</x:v>
      </x:c>
      <x:c r="G4" s="48" t="n">
        <x:v>3.4</x:v>
      </x:c>
      <x:c r="H4" s="48" t="n">
        <x:v>1</x:v>
      </x:c>
      <x:c r="I4" s="48" t="n">
        <x:v>54</x:v>
      </x:c>
      <x:c r="J4" s="48" t="n">
        <x:v>0</x:v>
      </x:c>
      <x:c r="K4" s="48" t="n">
        <x:v>9</x:v>
      </x:c>
      <x:c r="L4" s="48" t="n">
        <x:v>2</x:v>
      </x:c>
      <x:c r="M4" s="48" t="n">
        <x:v>1.05</x:v>
      </x:c>
      <x:c r="N4" s="32" t="str">
        <x:v>低耐久远程输出，保留机枪兵式 DPS 密度但改为原创单位。</x:v>
      </x:c>
    </x:row>
    <x:row r="5">
      <x:c r="A5" s="32" t="str">
        <x:v>钢契军团</x:v>
      </x:c>
      <x:c r="B5" s="32" t="str">
        <x:v>Unit</x:v>
      </x:c>
      <x:c r="C5" s="32" t="str">
        <x:v>steel_sapper</x:v>
      </x:c>
      <x:c r="D5" s="32" t="str">
        <x:v>破阵工</x:v>
      </x:c>
      <x:c r="E5" s="32" t="str">
        <x:v>攻城</x:v>
      </x:c>
      <x:c r="F5" s="48" t="n">
        <x:v>72</x:v>
      </x:c>
      <x:c r="G5" s="48" t="n">
        <x:v>5.2</x:v>
      </x:c>
      <x:c r="H5" s="48" t="n">
        <x:v>1</x:v>
      </x:c>
      <x:c r="I5" s="48" t="n">
        <x:v>95</x:v>
      </x:c>
      <x:c r="J5" s="48" t="n">
        <x:v>0</x:v>
      </x:c>
      <x:c r="K5" s="48" t="n">
        <x:v>20</x:v>
      </x:c>
      <x:c r="L5" s="48" t="n">
        <x:v>1</x:v>
      </x:c>
      <x:c r="M5" s="48" t="n">
        <x:v>0.85</x:v>
      </x:c>
      <x:c r="N5" s="32" t="str">
        <x:v>慢速拆建筑单位，对应阵地推进而非复制坦克。</x:v>
      </x:c>
    </x:row>
    <x:row r="6">
      <x:c r="A6" s="32" t="str">
        <x:v>星辉圣庭</x:v>
      </x:c>
      <x:c r="B6" s="32" t="str">
        <x:v>Race</x:v>
      </x:c>
      <x:c r="C6" s="32" t="str">
        <x:v>astral</x:v>
      </x:c>
      <x:c r="D6" s="32" t="str">
        <x:v>精英护盾</x:v>
      </x:c>
      <x:c r="E6" s="32" t="str"/>
      <x:c r="F6" s="48" t="str"/>
      <x:c r="G6" s="48" t="str"/>
      <x:c r="H6" s="48" t="str"/>
      <x:c r="I6" s="48" t="str"/>
      <x:c r="J6" s="48" t="str"/>
      <x:c r="K6" s="48" t="str"/>
      <x:c r="L6" s="48" t="str"/>
      <x:c r="M6" s="48" t="str"/>
      <x:c r="N6" s="32" t="str">
        <x:v>单位带护盾并自动回复；单位上限 -8。</x:v>
      </x:c>
    </x:row>
    <x:row r="7">
      <x:c r="A7" s="32" t="str">
        <x:v>星辉圣庭</x:v>
      </x:c>
      <x:c r="B7" s="32" t="str">
        <x:v>Unit</x:v>
      </x:c>
      <x:c r="C7" s="32" t="str">
        <x:v>astral_guard</x:v>
      </x:c>
      <x:c r="D7" s="32" t="str">
        <x:v>星卫</x:v>
      </x:c>
      <x:c r="E7" s="32" t="str">
        <x:v>精英前排</x:v>
      </x:c>
      <x:c r="F7" s="48" t="n">
        <x:v>58</x:v>
      </x:c>
      <x:c r="G7" s="48" t="n">
        <x:v>4.4</x:v>
      </x:c>
      <x:c r="H7" s="48" t="n">
        <x:v>1</x:v>
      </x:c>
      <x:c r="I7" s="48" t="n">
        <x:v>38</x:v>
      </x:c>
      <x:c r="J7" s="48" t="n">
        <x:v>50</x:v>
      </x:c>
      <x:c r="K7" s="48" t="n">
        <x:v>16</x:v>
      </x:c>
      <x:c r="L7" s="48" t="n">
        <x:v>1</x:v>
      </x:c>
      <x:c r="M7" s="48" t="n">
        <x:v>1</x:v>
      </x:c>
      <x:c r="N7" s="32" t="str">
        <x:v>高有效生命但昂贵，保留 Protoss 护盾体验。</x:v>
      </x:c>
    </x:row>
    <x:row r="8">
      <x:c r="A8" s="32" t="str">
        <x:v>星辉圣庭</x:v>
      </x:c>
      <x:c r="B8" s="32" t="str">
        <x:v>Unit</x:v>
      </x:c>
      <x:c r="C8" s="32" t="str">
        <x:v>astral_lancer</x:v>
      </x:c>
      <x:c r="D8" s="32" t="str">
        <x:v>辉矛</x:v>
      </x:c>
      <x:c r="E8" s="32" t="str">
        <x:v>远程穿刺</x:v>
      </x:c>
      <x:c r="F8" s="48" t="n">
        <x:v>68</x:v>
      </x:c>
      <x:c r="G8" s="48" t="n">
        <x:v>5</x:v>
      </x:c>
      <x:c r="H8" s="48" t="n">
        <x:v>1</x:v>
      </x:c>
      <x:c r="I8" s="48" t="n">
        <x:v>34</x:v>
      </x:c>
      <x:c r="J8" s="48" t="n">
        <x:v>42</x:v>
      </x:c>
      <x:c r="K8" s="48" t="n">
        <x:v>18</x:v>
      </x:c>
      <x:c r="L8" s="48" t="n">
        <x:v>2.2</x:v>
      </x:c>
      <x:c r="M8" s="48" t="n">
        <x:v>0.95</x:v>
      </x:c>
      <x:c r="N8" s="32" t="str">
        <x:v>少量远程强点杀，强化高质量小队感。</x:v>
      </x:c>
    </x:row>
    <x:row r="9">
      <x:c r="A9" s="32" t="str">
        <x:v>星辉圣庭</x:v>
      </x:c>
      <x:c r="B9" s="32" t="str">
        <x:v>Unit</x:v>
      </x:c>
      <x:c r="C9" s="32" t="str">
        <x:v>astral_beacon</x:v>
      </x:c>
      <x:c r="D9" s="32" t="str">
        <x:v>棱核</x:v>
      </x:c>
      <x:c r="E9" s="32" t="str">
        <x:v>重型核心</x:v>
      </x:c>
      <x:c r="F9" s="48" t="n">
        <x:v>95</x:v>
      </x:c>
      <x:c r="G9" s="48" t="n">
        <x:v>6.3</x:v>
      </x:c>
      <x:c r="H9" s="48" t="n">
        <x:v>1</x:v>
      </x:c>
      <x:c r="I9" s="48" t="n">
        <x:v>58</x:v>
      </x:c>
      <x:c r="J9" s="48" t="n">
        <x:v>82</x:v>
      </x:c>
      <x:c r="K9" s="48" t="n">
        <x:v>28</x:v>
      </x:c>
      <x:c r="L9" s="48" t="n">
        <x:v>1.5</x:v>
      </x:c>
      <x:c r="M9" s="48" t="n">
        <x:v>0.8</x:v>
      </x:c>
      <x:c r="N9" s="32" t="str">
        <x:v>慢速高价值单位，避免照搬 Immortal 但保留重型威慑。</x:v>
      </x:c>
    </x:row>
    <x:row r="10">
      <x:c r="A10" s="32" t="str">
        <x:v>巢潮集群</x:v>
      </x:c>
      <x:c r="B10" s="32" t="str">
        <x:v>Race</x:v>
      </x:c>
      <x:c r="C10" s="32" t="str">
        <x:v>swarm</x:v>
      </x:c>
      <x:c r="D10" s="32" t="str">
        <x:v>群体扩张</x:v>
      </x:c>
      <x:c r="E10" s="32" t="str"/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32" t="str">
        <x:v>基础突击单位一次训练生成 2 个；单位上限 +12。</x:v>
      </x:c>
    </x:row>
    <x:row r="11">
      <x:c r="A11" s="32" t="str">
        <x:v>巢潮集群</x:v>
      </x:c>
      <x:c r="B11" s="32" t="str">
        <x:v>Unit</x:v>
      </x:c>
      <x:c r="C11" s="32" t="str">
        <x:v>swarm_runner</x:v>
      </x:c>
      <x:c r="D11" s="32" t="str">
        <x:v>巢奔</x:v>
      </x:c>
      <x:c r="E11" s="32" t="str">
        <x:v>突击群</x:v>
      </x:c>
      <x:c r="F11" s="48" t="n">
        <x:v>45</x:v>
      </x:c>
      <x:c r="G11" s="48" t="n">
        <x:v>3.2</x:v>
      </x:c>
      <x:c r="H11" s="48" t="n">
        <x:v>2</x:v>
      </x:c>
      <x:c r="I11" s="48" t="n">
        <x:v>32</x:v>
      </x:c>
      <x:c r="J11" s="48" t="n">
        <x:v>0</x:v>
      </x:c>
      <x:c r="K11" s="48" t="n">
        <x:v>7</x:v>
      </x:c>
      <x:c r="L11" s="48" t="n">
        <x:v>1</x:v>
      </x:c>
      <x:c r="M11" s="48" t="n">
        <x:v>1.35</x:v>
      </x:c>
      <x:c r="N11" s="32" t="str">
        <x:v>用数量和速度模拟虫族波次，而非照搬 Zergling。</x:v>
      </x:c>
    </x:row>
    <x:row r="12">
      <x:c r="A12" s="32" t="str">
        <x:v>巢潮集群</x:v>
      </x:c>
      <x:c r="B12" s="32" t="str">
        <x:v>Unit</x:v>
      </x:c>
      <x:c r="C12" s="32" t="str">
        <x:v>swarm_spitter</x:v>
      </x:c>
      <x:c r="D12" s="32" t="str">
        <x:v>酸刺</x:v>
      </x:c>
      <x:c r="E12" s="32" t="str">
        <x:v>低价远程</x:v>
      </x:c>
      <x:c r="F12" s="48" t="n">
        <x:v>34</x:v>
      </x:c>
      <x:c r="G12" s="48" t="n">
        <x:v>2.6</x:v>
      </x:c>
      <x:c r="H12" s="48" t="n">
        <x:v>1</x:v>
      </x:c>
      <x:c r="I12" s="48" t="n">
        <x:v>42</x:v>
      </x:c>
      <x:c r="J12" s="48" t="n">
        <x:v>0</x:v>
      </x:c>
      <x:c r="K12" s="48" t="n">
        <x:v>9</x:v>
      </x:c>
      <x:c r="L12" s="48" t="n">
        <x:v>2</x:v>
      </x:c>
      <x:c r="M12" s="48" t="n">
        <x:v>1.1</x:v>
      </x:c>
      <x:c r="N12" s="32" t="str">
        <x:v>补足低价远程压制，服务手机端自动行军。</x:v>
      </x:c>
    </x:row>
    <x:row r="13">
      <x:c r="A13" s="33" t="str">
        <x:v>巢潮集群</x:v>
      </x:c>
      <x:c r="B13" s="33" t="str">
        <x:v>Unit</x:v>
      </x:c>
      <x:c r="C13" s="33" t="str">
        <x:v>swarm_brute</x:v>
      </x:c>
      <x:c r="D13" s="33" t="str">
        <x:v>壳兽</x:v>
      </x:c>
      <x:c r="E13" s="33" t="str">
        <x:v>肉盾拆城</x:v>
      </x:c>
      <x:c r="F13" s="49" t="n">
        <x:v>68</x:v>
      </x:c>
      <x:c r="G13" s="49" t="n">
        <x:v>4.7</x:v>
      </x:c>
      <x:c r="H13" s="49" t="n">
        <x:v>1</x:v>
      </x:c>
      <x:c r="I13" s="49" t="n">
        <x:v>105</x:v>
      </x:c>
      <x:c r="J13" s="49" t="n">
        <x:v>0</x:v>
      </x:c>
      <x:c r="K13" s="49" t="n">
        <x:v>16</x:v>
      </x:c>
      <x:c r="L13" s="49" t="n">
        <x:v>1</x:v>
      </x:c>
      <x:c r="M13" s="49" t="n">
        <x:v>0.85</x:v>
      </x:c>
      <x:c r="N13" s="33" t="str">
        <x:v>让群体种族也有慢速承伤和拆建筑选择。</x:v>
      </x:c>
    </x:row>
  </x:sheetData>
  <x:pageMargins left="0.7" right="0.7" top="0.75" bottom="0.75" header="0.3" footer="0.3"/>
  <x:tableParts count="1">
    <x:tablePart xmlns:r="http://schemas.openxmlformats.org/officeDocument/2006/relationships" r:id="R17bdbcea5d0440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6" t="str">
        <x:v>Interface / Surface</x:v>
      </x:c>
      <x:c r="B1" s="37" t="str">
        <x:v>Location</x:v>
      </x:c>
      <x:c r="C1" s="38" t="str">
        <x:v>Implementation</x:v>
      </x:c>
    </x:row>
    <x:row r="2">
      <x:c r="A2" s="31" t="str">
        <x:v>RaceId</x:v>
      </x:c>
      <x:c r="B2" s="31" t="str">
        <x:v>src/game/types.ts</x:v>
      </x:c>
      <x:c r="C2" s="31" t="str">
        <x:v>新增 steel / astral / swarm 三个原创种族标识。</x:v>
      </x:c>
    </x:row>
    <x:row r="3">
      <x:c r="A3" s="32" t="str">
        <x:v>RaceDefinition</x:v>
      </x:c>
      <x:c r="B3" s="32" t="str">
        <x:v>src/game/types.ts + src/game/config.ts</x:v>
      </x:c>
      <x:c r="C3" s="32" t="str">
        <x:v>保存显示名、机制说明、颜色、单位列表、建筑/队列/单位上限修正。</x:v>
      </x:c>
    </x:row>
    <x:row r="4">
      <x:c r="A4" s="32" t="str">
        <x:v>PlayerState.raceId</x:v>
      </x:c>
      <x:c r="B4" s="32" t="str">
        <x:v>src/game/types.ts</x:v>
      </x:c>
      <x:c r="C4" s="32" t="str">
        <x:v>每个玩家持有当前种族；重开时由 GameSimulation.selectedRaces 保留。</x:v>
      </x:c>
    </x:row>
    <x:row r="5">
      <x:c r="A5" s="32" t="str">
        <x:v>setRace command</x:v>
      </x:c>
      <x:c r="B5" s="32" t="str">
        <x:v>src/game/simulation.ts</x:v>
      </x:c>
      <x:c r="C5" s="32" t="str">
        <x:v>仅在 started=false 时允许更换，开局后返回失败。</x:v>
      </x:c>
    </x:row>
    <x:row r="6">
      <x:c r="A6" s="32" t="str">
        <x:v>UnitDefinition.raceId/icon/spawnCount</x:v>
      </x:c>
      <x:c r="B6" s="32" t="str">
        <x:v>src/game/types.ts</x:v>
      </x:c>
      <x:c r="C6" s="32" t="str">
        <x:v>UI 过滤种族单位，Phaser 绘制小图标，巢潮支持一次训练多单位。</x:v>
      </x:c>
    </x:row>
    <x:row r="7">
      <x:c r="A7" s="32" t="str">
        <x:v>UnitLevel range/shield</x:v>
      </x:c>
      <x:c r="B7" s="32" t="str">
        <x:v>src/game/types.ts + simulation.ts</x:v>
      </x:c>
      <x:c r="C7" s="32" t="str">
        <x:v>支持远程攻击、护盾吸收、护盾回复、建筑伤害倍率。</x:v>
      </x:c>
    </x:row>
    <x:row r="8">
      <x:c r="A8" s="32" t="str">
        <x:v>GameUI race picker</x:v>
      </x:c>
      <x:c r="B8" s="32" t="str">
        <x:v>src/ui/GameUI.ts + src/styles.css</x:v>
      </x:c>
      <x:c r="C8" s="32" t="str">
        <x:v>开局页选择玩家种族，HUD 显示双方种族。</x:v>
      </x:c>
    </x:row>
    <x:row r="9">
      <x:c r="A9" s="32" t="str">
        <x:v>BattleScene unit visuals</x:v>
      </x:c>
      <x:c r="B9" s="32" t="str">
        <x:v>src/phaser/BattleScene.ts</x:v>
      </x:c>
      <x:c r="C9" s="32" t="str">
        <x:v>使用几何轮廓、种族色和单位图标，不使用星际 2 资产。</x:v>
      </x:c>
    </x:row>
    <x:row r="10">
      <x:c r="A10" s="33" t="str">
        <x:v>Tests</x:v>
      </x:c>
      <x:c r="B10" s="33" t="str">
        <x:v>tests/simulation.test.ts + e2e/game.spec.ts</x:v>
      </x:c>
      <x:c r="C10" s="33" t="str">
        <x:v>覆盖种族选择、护盾、群体生成、射程、AI 和竖屏 UI。</x:v>
      </x:c>
    </x:row>
  </x:sheetData>
  <x:pageMargins left="0.7" right="0.7" top="0.75" bottom="0.75" header="0.3" footer="0.3"/>
  <x:tableParts count="1">
    <x:tablePart xmlns:r="http://schemas.openxmlformats.org/officeDocument/2006/relationships" r:id="Rba5416bfca244e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57" t="str">
        <x:v>Metric</x:v>
      </x:c>
      <x:c r="B1" s="58" t="str">
        <x:v>Target</x:v>
      </x:c>
      <x:c r="C1" s="58" t="str">
        <x:v>Current v1 default</x:v>
      </x:c>
      <x:c r="D1" s="58" t="str">
        <x:v>How to read</x:v>
      </x:c>
      <x:c r="E1" s="59" t="str">
        <x:v>Next tuning action</x:v>
      </x:c>
    </x:row>
    <x:row r="2">
      <x:c r="A2" s="31" t="str">
        <x:v>First mine timing</x:v>
      </x:c>
      <x:c r="B2" s="31" t="str">
        <x:v>15s 内可完成</x:v>
      </x:c>
      <x:c r="C2" s="31" t="str">
        <x:v>起始 120 金币，金矿 60</x:v>
      </x:c>
      <x:c r="D2" s="31" t="str">
        <x:v>保证玩家第一步不等待</x:v>
      </x:c>
      <x:c r="E2" s="31" t="str">
        <x:v>若新手仍不建矿，提高高亮/默认提示</x:v>
      </x:c>
    </x:row>
    <x:row r="3">
      <x:c r="A3" s="32" t="str">
        <x:v>First barracks timing</x:v>
      </x:c>
      <x:c r="B3" s="32" t="str">
        <x:v>35s 内可完成</x:v>
      </x:c>
      <x:c r="C3" s="32" t="str">
        <x:v>兵营 80，基础收入 2/s</x:v>
      </x:c>
      <x:c r="D3" s="32" t="str">
        <x:v>经济投入后进入出兵</x:v>
      </x:c>
      <x:c r="E3" s="32" t="str">
        <x:v>若节奏慢，调低兵营至 70 或提高矿收入</x:v>
      </x:c>
    </x:row>
    <x:row r="4">
      <x:c r="A4" s="32" t="str">
        <x:v>Steel feel</x:v>
      </x:c>
      <x:c r="B4" s="32" t="str">
        <x:v>稳、抗打、推进慢</x:v>
      </x:c>
      <x:c r="C4" s="32" t="str">
        <x:v>建筑 HP +18%，队列 +1</x:v>
      </x:c>
      <x:c r="D4" s="32" t="str">
        <x:v>容错比另外两族高</x:v>
      </x:c>
      <x:c r="E4" s="32" t="str">
        <x:v>若拖局，降低塔或建筑倍率</x:v>
      </x:c>
    </x:row>
    <x:row r="5">
      <x:c r="A5" s="32" t="str">
        <x:v>Astral feel</x:v>
      </x:c>
      <x:c r="B5" s="32" t="str">
        <x:v>少量高价值单位</x:v>
      </x:c>
      <x:c r="C5" s="32" t="str">
        <x:v>上限 -8，单位护盾回复</x:v>
      </x:c>
      <x:c r="D5" s="32" t="str">
        <x:v>损失惩罚高但续航强</x:v>
      </x:c>
      <x:c r="E5" s="32" t="str">
        <x:v>若太强，降低护盾回复而非生命</x:v>
      </x:c>
    </x:row>
    <x:row r="6">
      <x:c r="A6" s="32" t="str">
        <x:v>Swarm feel</x:v>
      </x:c>
      <x:c r="B6" s="32" t="str">
        <x:v>连续波次和扩张</x:v>
      </x:c>
      <x:c r="C6" s="32" t="str">
        <x:v>单位上限 +12，巢奔 x2</x:v>
      </x:c>
      <x:c r="D6" s="32" t="str">
        <x:v>压迫来自数量</x:v>
      </x:c>
      <x:c r="E6" s="32" t="str">
        <x:v>若拥堵，降低 spawnCount 或提高碰撞分散</x:v>
      </x:c>
    </x:row>
    <x:row r="7">
      <x:c r="A7" s="33" t="str">
        <x:v>Win condition</x:v>
      </x:c>
      <x:c r="B7" s="33" t="str">
        <x:v>主城被摧毁</x:v>
      </x:c>
      <x:c r="C7" s="33" t="str">
        <x:v>沿用当前 Demo</x:v>
      </x:c>
      <x:c r="D7" s="33" t="str">
        <x:v>保持手机端规则简单</x:v>
      </x:c>
      <x:c r="E7" s="33" t="str">
        <x:v>后续可加入据点占比胜利</x:v>
      </x:c>
    </x:row>
  </x:sheetData>
  <x:pageMargins left="0.7" right="0.7" top="0.75" bottom="0.75" header="0.3" footer="0.3"/>
</x:worksheet>
</file>